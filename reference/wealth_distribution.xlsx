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bution" sheetId="1" state="visible" r:id="rId3"/>
    <sheet name="Methodology &amp;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Approx. adult (20+) population. India ~1.0bn, Indonesia ~185m, Singapore ~4.5m (incl. PRs/long-term residents), USA ~260m. World = UBS 56-market sample (~3.8bn adults, ~92% of global wealth); the full world adult population is ~5.5bn — the extra ~1.7bn are almost all in Band 1.</t>
        </r>
      </text>
    </comment>
  </commentList>
</comments>
</file>

<file path=xl/sharedStrings.xml><?xml version="1.0" encoding="utf-8"?>
<sst xmlns="http://schemas.openxmlformats.org/spreadsheetml/2006/main" count="114" uniqueCount="73">
  <si>
    <t xml:space="preserve">Global Wealth Distribution by Net-Worth Band — India, Indonesia, Singapore, USA &amp; World</t>
  </si>
  <si>
    <t xml:space="preserve">Adults (age 20+). Bands defined in INR crore; USD equivalents at ₹96.5 / $1 (RBI ref. rate, Jul 2026). Number of people per band, then the same as a share of each geography's adult population.</t>
  </si>
  <si>
    <t xml:space="preserve">Adult population (20+), approx.</t>
  </si>
  <si>
    <t xml:space="preserve">SECTION 1 — NUMBER OF ADULTS IN EACH NET-WORTH BAND</t>
  </si>
  <si>
    <t xml:space="preserve">#</t>
  </si>
  <si>
    <t xml:space="preserve">Net worth (INR)</t>
  </si>
  <si>
    <t xml:space="preserve">USD equivalent</t>
  </si>
  <si>
    <t xml:space="preserve">India</t>
  </si>
  <si>
    <t xml:space="preserve">Indonesia</t>
  </si>
  <si>
    <t xml:space="preserve">Singapore</t>
  </si>
  <si>
    <t xml:space="preserve">USA</t>
  </si>
  <si>
    <t xml:space="preserve">World</t>
  </si>
  <si>
    <t xml:space="preserve">1</t>
  </si>
  <si>
    <t xml:space="preserve">&lt; ₹1 cr</t>
  </si>
  <si>
    <t xml:space="preserve">&lt; $104k</t>
  </si>
  <si>
    <t xml:space="preserve">2</t>
  </si>
  <si>
    <t xml:space="preserve">₹1 – 5 cr</t>
  </si>
  <si>
    <t xml:space="preserve">$104k – 518k</t>
  </si>
  <si>
    <t xml:space="preserve">3</t>
  </si>
  <si>
    <t xml:space="preserve">₹5 – 10 cr</t>
  </si>
  <si>
    <t xml:space="preserve">$518k – 1.04M</t>
  </si>
  <si>
    <t xml:space="preserve">4</t>
  </si>
  <si>
    <t xml:space="preserve">₹10 – 25 cr</t>
  </si>
  <si>
    <t xml:space="preserve">$1.04M – 2.59M</t>
  </si>
  <si>
    <t xml:space="preserve">5</t>
  </si>
  <si>
    <t xml:space="preserve">₹25 – 50 cr</t>
  </si>
  <si>
    <t xml:space="preserve">$2.59M – 5.18M</t>
  </si>
  <si>
    <t xml:space="preserve">6</t>
  </si>
  <si>
    <t xml:space="preserve">₹50 – 100 cr</t>
  </si>
  <si>
    <t xml:space="preserve">$5.18M – 10.4M</t>
  </si>
  <si>
    <t xml:space="preserve">7</t>
  </si>
  <si>
    <t xml:space="preserve">₹100 – 500 cr</t>
  </si>
  <si>
    <t xml:space="preserve">$10.4M – 51.8M</t>
  </si>
  <si>
    <t xml:space="preserve">8</t>
  </si>
  <si>
    <t xml:space="preserve">₹500 – 1,000 cr</t>
  </si>
  <si>
    <t xml:space="preserve">$51.8M – 104M</t>
  </si>
  <si>
    <t xml:space="preserve">9</t>
  </si>
  <si>
    <t xml:space="preserve">₹1,000 – 5,000 cr</t>
  </si>
  <si>
    <t xml:space="preserve">$104M – 518M</t>
  </si>
  <si>
    <t xml:space="preserve">10</t>
  </si>
  <si>
    <t xml:space="preserve">₹5,000 – 10,000 cr</t>
  </si>
  <si>
    <t xml:space="preserve">$518M – 1.04B</t>
  </si>
  <si>
    <t xml:space="preserve">11</t>
  </si>
  <si>
    <t xml:space="preserve">&gt; ₹10,000 cr</t>
  </si>
  <si>
    <t xml:space="preserve">&gt; $1.04B ($ billionaires)</t>
  </si>
  <si>
    <t xml:space="preserve">SECTION 2 — SHARE OF ADULT POPULATION (%)</t>
  </si>
  <si>
    <t xml:space="preserve">TOTAL</t>
  </si>
  <si>
    <t xml:space="preserve">Note: World percentages use the UBS 56-market sample (~3.8bn adults). Counting all ~5.5bn adults worldwide, Band 1 (&lt; ₹1 cr) is closer to ~4.9bn people (~89%). Blue = modeled estimate / input; black = formula. See 'Methodology &amp; Sources' tab.</t>
  </si>
  <si>
    <t xml:space="preserve">Methodology &amp; Sources</t>
  </si>
  <si>
    <t xml:space="preserve">WHAT THIS IS</t>
  </si>
  <si>
    <t xml:space="preserve">A distribution of adults across net-worth bands for India, Indonesia, Singapore, the USA and the World. Band boundaries are set in INR crore and converted to USD at ₹96.5/$1 (RBI reference rate, ~Jul 2026).</t>
  </si>
  <si>
    <t xml:space="preserve">1 crore (cr) = 10,000,000 INR ≈ $103,600.  So: ₹1cr≈$104k, ₹10cr≈$1.04M, ₹100cr≈$10.4M, ₹1,000cr≈$104M, ₹10,000cr≈$1.04B (≈ dollar-billionaire).</t>
  </si>
  <si>
    <t xml:space="preserve">PRIMARY SOURCES</t>
  </si>
  <si>
    <t xml:space="preserve">• UBS Global Wealth Report 2025 (end-2024 data) &amp; 2026 (end-2025). Global wealth pyramid and per-country USD-millionaire counts:</t>
  </si>
  <si>
    <t xml:space="preserve">     USA 23.83m, China 6.33m, France 2.90m, Japan 2.73m, Germany 2.68m, UK 2.62m, ... India 917k, Singapore 331k millionaires (&gt;$1M).</t>
  </si>
  <si>
    <t xml:space="preserve">     Global pyramid (end-2024): &lt;$10k 1.55bn; $10k–100k 1.57bn; $100k–1M 628m; &gt;$1M 60m. EMILLIs ($1–5M) ~52m; &gt;$5M ~8m.</t>
  </si>
  <si>
    <t xml:space="preserve">• Knight Frank Wealth Report 2025/2026 — UHNWI (&gt;$30M): world ~714k; USA ~35% share; &gt;$100M world ~100k. India/Indonesia among fastest growers.</t>
  </si>
  <si>
    <t xml:space="preserve">• Forbes World's Billionaires 2025 (&gt;$1B, by citizenship): USA ~900–940, India ~205–214, Indonesia ~33, Singapore ~35, World ~3,050–3,300.</t>
  </si>
  <si>
    <t xml:space="preserve">• UBS billionaire split (end-2024): 2,891 billionaires; $1–50bn: 2,860; $50–100bn: 16; &gt;$100bn: 15.</t>
  </si>
  <si>
    <t xml:space="preserve">HOW THE BANDS WERE BUILT</t>
  </si>
  <si>
    <t xml:space="preserve">• Anchor points (known, per geography): number of adults &gt;$100k, &gt;$500k(*), &gt;$1M, &gt;$5M, &gt;$30M, &gt;$100M and &gt;$1B.</t>
  </si>
  <si>
    <t xml:space="preserve">• Between anchors, the wealth tail follows a Pareto (power-law) distribution: N(&gt;w) = N0 × (w/w0)^(−α). α is fitted piecewise from each pair of adjacent anchors (typically α≈1.0–1.7), then band counts are taken as differences N(&gt;low) − N(&gt;high).</t>
  </si>
  <si>
    <t xml:space="preserve">• Band 1 (&lt; ₹1 cr) is computed as a residual: adult population minus the sum of all higher bands (a live formula).</t>
  </si>
  <si>
    <t xml:space="preserve">• Millionaire counts (&gt;$1M) are UBS actuals except Indonesia, which UBS does not list individually (below its top-25 cut-off of 331k). Indonesia &gt;$1M is estimated at ~270k from its UHNWI base and regional wealth structure — the single most uncertain input here.</t>
  </si>
  <si>
    <t xml:space="preserve">KEY ASSUMPTIONS / CAVEATS</t>
  </si>
  <si>
    <t xml:space="preserve">• 'Net worth' = financial + non-financial assets minus debt, per adult (UBS definition). Household-level or investable-only figures differ.</t>
  </si>
  <si>
    <t xml:space="preserve">• These are modeled estimates, not a census. Treat the top bands as order-of-magnitude: exact counts of $100M+ / $1B+ individuals vary by source and by month (markets move).</t>
  </si>
  <si>
    <t xml:space="preserve">• Billionaires are Forbes 'by citizenship'. By residence, Singapore is higher (a hub that attracts UHNW migrants) — its resident $-billionaire count is closer to ~50.</t>
  </si>
  <si>
    <t xml:space="preserve">• World row uses UBS's 56-market sample (~3.8bn adults). Adding the ~1.7bn adults outside the sample (nearly all low-wealth) raises Band 1 to ~4.9bn.</t>
  </si>
  <si>
    <t xml:space="preserve">• Exchange rate matters: at a stronger rupee (e.g. ₹85/$) the USD cut-offs shift down ~12%, nudging more people into higher INR bands. Rate used: ₹96.5/$.</t>
  </si>
  <si>
    <t xml:space="preserve">• (*) &gt;$500k is itself interpolated within the UBS $100k–$1M band, so Bands 2–3 carry more model uncertainty than the millionaire+ bands.</t>
  </si>
  <si>
    <t xml:space="preserve">READING THE TINY BANDS</t>
  </si>
  <si>
    <t xml:space="preserve">For the rarest bands, percentages round to ~0.0000%. Use the absolute counts. Example rarities: a $-billionaire is ~1 in 4.9m adults in India, ~1 in 0.29m in the USA, ~1 in 0.13m in Singapore; a &gt;₹100cr ($10M+) fortune is ~1 in 20,000 adults in India vs ~1 in 280 in the USA.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</si>
</sst>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8EAADB"/>
        <bgColor rgb="FFB0B0B0"/>
      </patternFill>
    </fill>
    <fill>
      <patternFill patternType="solid">
        <fgColor rgb="FFDEE6F2"/>
        <bgColor rgb="FFCCFFFF"/>
      </patternFill>
    </fill>
    <fill>
      <patternFill patternType="solid">
        <fgColor rgb="FFC9C9C9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EAADB"/>
      <rgbColor rgb="FF993366"/>
      <rgbColor rgb="FFFFF2CC"/>
      <rgbColor rgb="FFDE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0B0B0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8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4" t="n">
        <v>1000000000</v>
      </c>
      <c r="E4" s="4" t="n">
        <v>185000000</v>
      </c>
      <c r="F4" s="4" t="n">
        <v>4500000</v>
      </c>
      <c r="G4" s="4" t="n">
        <v>260000000</v>
      </c>
      <c r="H4" s="4" t="n">
        <v>3800000000</v>
      </c>
    </row>
    <row r="6" customFormat="false" ht="19.5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</row>
    <row r="8" customFormat="false" ht="15" hidden="false" customHeight="false" outlineLevel="0" collapsed="false">
      <c r="A8" s="7" t="s">
        <v>12</v>
      </c>
      <c r="B8" s="8" t="s">
        <v>13</v>
      </c>
      <c r="C8" s="9" t="s">
        <v>14</v>
      </c>
      <c r="D8" s="10" t="n">
        <f aca="false">D4-SUM(D9:D18)</f>
        <v>973594955</v>
      </c>
      <c r="E8" s="10" t="n">
        <f aca="false">E4-SUM(E9:E18)</f>
        <v>179316550</v>
      </c>
      <c r="F8" s="10" t="n">
        <f aca="false">F4-SUM(F9:F18)</f>
        <v>2250726</v>
      </c>
      <c r="G8" s="10" t="n">
        <f aca="false">G4-SUM(G9:G18)</f>
        <v>115595960</v>
      </c>
      <c r="H8" s="10" t="n">
        <f aca="false">H4-SUM(H9:H18)</f>
        <v>3114934040</v>
      </c>
    </row>
    <row r="9" customFormat="false" ht="15" hidden="false" customHeight="false" outlineLevel="0" collapsed="false">
      <c r="A9" s="11" t="s">
        <v>15</v>
      </c>
      <c r="B9" s="12" t="s">
        <v>16</v>
      </c>
      <c r="C9" s="13" t="s">
        <v>17</v>
      </c>
      <c r="D9" s="14" t="n">
        <v>24000000</v>
      </c>
      <c r="E9" s="14" t="n">
        <v>5030000</v>
      </c>
      <c r="F9" s="14" t="n">
        <v>1680000</v>
      </c>
      <c r="G9" s="14" t="n">
        <v>105100000</v>
      </c>
      <c r="H9" s="14" t="n">
        <v>563000000</v>
      </c>
    </row>
    <row r="10" customFormat="false" ht="15" hidden="false" customHeight="false" outlineLevel="0" collapsed="false">
      <c r="A10" s="11" t="s">
        <v>18</v>
      </c>
      <c r="B10" s="12" t="s">
        <v>19</v>
      </c>
      <c r="C10" s="13" t="s">
        <v>20</v>
      </c>
      <c r="D10" s="14" t="n">
        <v>1530000</v>
      </c>
      <c r="E10" s="14" t="n">
        <v>398000</v>
      </c>
      <c r="F10" s="14" t="n">
        <v>254000</v>
      </c>
      <c r="G10" s="14" t="n">
        <v>16700000</v>
      </c>
      <c r="H10" s="14" t="n">
        <v>65000000</v>
      </c>
    </row>
    <row r="11" customFormat="false" ht="15" hidden="false" customHeight="false" outlineLevel="0" collapsed="false">
      <c r="A11" s="11" t="s">
        <v>21</v>
      </c>
      <c r="B11" s="12" t="s">
        <v>22</v>
      </c>
      <c r="C11" s="13" t="s">
        <v>23</v>
      </c>
      <c r="D11" s="14" t="n">
        <v>581000</v>
      </c>
      <c r="E11" s="14" t="n">
        <v>183000</v>
      </c>
      <c r="F11" s="14" t="n">
        <v>214000</v>
      </c>
      <c r="G11" s="14" t="n">
        <v>15970000</v>
      </c>
      <c r="H11" s="14" t="n">
        <v>39000000</v>
      </c>
    </row>
    <row r="12" customFormat="false" ht="15" hidden="false" customHeight="false" outlineLevel="0" collapsed="false">
      <c r="A12" s="11" t="s">
        <v>24</v>
      </c>
      <c r="B12" s="12" t="s">
        <v>25</v>
      </c>
      <c r="C12" s="13" t="s">
        <v>26</v>
      </c>
      <c r="D12" s="14" t="n">
        <v>165000</v>
      </c>
      <c r="E12" s="14" t="n">
        <v>44500</v>
      </c>
      <c r="F12" s="14" t="n">
        <v>58400</v>
      </c>
      <c r="G12" s="14" t="n">
        <v>4010000</v>
      </c>
      <c r="H12" s="14" t="n">
        <v>10500000</v>
      </c>
    </row>
    <row r="13" customFormat="false" ht="15" hidden="false" customHeight="false" outlineLevel="0" collapsed="false">
      <c r="A13" s="11" t="s">
        <v>27</v>
      </c>
      <c r="B13" s="12" t="s">
        <v>28</v>
      </c>
      <c r="C13" s="13" t="s">
        <v>29</v>
      </c>
      <c r="D13" s="14" t="n">
        <v>72500</v>
      </c>
      <c r="E13" s="14" t="n">
        <v>17200</v>
      </c>
      <c r="F13" s="14" t="n">
        <v>24700</v>
      </c>
      <c r="G13" s="14" t="n">
        <v>1590000</v>
      </c>
      <c r="H13" s="14" t="n">
        <v>4620000</v>
      </c>
    </row>
    <row r="14" customFormat="false" ht="15" hidden="false" customHeight="false" outlineLevel="0" collapsed="false">
      <c r="A14" s="11" t="s">
        <v>30</v>
      </c>
      <c r="B14" s="12" t="s">
        <v>31</v>
      </c>
      <c r="C14" s="13" t="s">
        <v>32</v>
      </c>
      <c r="D14" s="14" t="n">
        <v>48400</v>
      </c>
      <c r="E14" s="14" t="n">
        <v>9480</v>
      </c>
      <c r="F14" s="14" t="n">
        <v>15900</v>
      </c>
      <c r="G14" s="14" t="n">
        <v>923000</v>
      </c>
      <c r="H14" s="14" t="n">
        <v>2640000</v>
      </c>
    </row>
    <row r="15" customFormat="false" ht="15" hidden="false" customHeight="false" outlineLevel="0" collapsed="false">
      <c r="A15" s="11" t="s">
        <v>33</v>
      </c>
      <c r="B15" s="12" t="s">
        <v>34</v>
      </c>
      <c r="C15" s="13" t="s">
        <v>35</v>
      </c>
      <c r="D15" s="14" t="n">
        <v>4680</v>
      </c>
      <c r="E15" s="14" t="n">
        <v>728</v>
      </c>
      <c r="F15" s="14" t="n">
        <v>1420</v>
      </c>
      <c r="G15" s="14" t="n">
        <v>71400</v>
      </c>
      <c r="H15" s="14" t="n">
        <v>206000</v>
      </c>
    </row>
    <row r="16" customFormat="false" ht="15" hidden="false" customHeight="false" outlineLevel="0" collapsed="false">
      <c r="A16" s="11" t="s">
        <v>36</v>
      </c>
      <c r="B16" s="12" t="s">
        <v>37</v>
      </c>
      <c r="C16" s="13" t="s">
        <v>38</v>
      </c>
      <c r="D16" s="14" t="n">
        <v>2990</v>
      </c>
      <c r="E16" s="14" t="n">
        <v>468</v>
      </c>
      <c r="F16" s="14" t="n">
        <v>766</v>
      </c>
      <c r="G16" s="14" t="n">
        <v>36900</v>
      </c>
      <c r="H16" s="14" t="n">
        <v>91300</v>
      </c>
    </row>
    <row r="17" customFormat="false" ht="15" hidden="false" customHeight="false" outlineLevel="0" collapsed="false">
      <c r="A17" s="11" t="s">
        <v>39</v>
      </c>
      <c r="B17" s="12" t="s">
        <v>40</v>
      </c>
      <c r="C17" s="13" t="s">
        <v>41</v>
      </c>
      <c r="D17" s="14" t="n">
        <v>270</v>
      </c>
      <c r="E17" s="14" t="n">
        <v>41</v>
      </c>
      <c r="F17" s="14" t="n">
        <v>53</v>
      </c>
      <c r="G17" s="14" t="n">
        <v>1840</v>
      </c>
      <c r="H17" s="14" t="n">
        <v>5660</v>
      </c>
    </row>
    <row r="18" customFormat="false" ht="15" hidden="false" customHeight="false" outlineLevel="0" collapsed="false">
      <c r="A18" s="7" t="s">
        <v>42</v>
      </c>
      <c r="B18" s="8" t="s">
        <v>43</v>
      </c>
      <c r="C18" s="9" t="s">
        <v>44</v>
      </c>
      <c r="D18" s="15" t="n">
        <v>205</v>
      </c>
      <c r="E18" s="15" t="n">
        <v>33</v>
      </c>
      <c r="F18" s="15" t="n">
        <v>35</v>
      </c>
      <c r="G18" s="15" t="n">
        <v>900</v>
      </c>
      <c r="H18" s="15" t="n">
        <v>3000</v>
      </c>
    </row>
    <row r="19" customFormat="false" ht="15" hidden="false" customHeight="false" outlineLevel="0" collapsed="false">
      <c r="A19" s="16"/>
      <c r="B19" s="16"/>
      <c r="C19" s="16"/>
      <c r="D19" s="17" t="n">
        <f aca="false">SUM(D8:D18)</f>
        <v>1000000000</v>
      </c>
      <c r="E19" s="17" t="n">
        <f aca="false">SUM(E8:E18)</f>
        <v>185000000</v>
      </c>
      <c r="F19" s="17" t="n">
        <f aca="false">SUM(F8:F18)</f>
        <v>4500000</v>
      </c>
      <c r="G19" s="17" t="n">
        <f aca="false">SUM(G8:G18)</f>
        <v>260000000</v>
      </c>
      <c r="H19" s="17" t="n">
        <f aca="false">SUM(H8:H18)</f>
        <v>3800000000</v>
      </c>
    </row>
    <row r="21" customFormat="false" ht="19.5" hidden="false" customHeight="true" outlineLevel="0" collapsed="false">
      <c r="A21" s="5" t="s">
        <v>45</v>
      </c>
      <c r="B21" s="5"/>
      <c r="C21" s="5"/>
      <c r="D21" s="5"/>
      <c r="E21" s="5"/>
      <c r="F21" s="5"/>
      <c r="G21" s="5"/>
      <c r="H21" s="5"/>
    </row>
    <row r="22" customFormat="false" ht="30" hidden="false" customHeight="true" outlineLevel="0" collapsed="false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</row>
    <row r="23" customFormat="false" ht="15" hidden="false" customHeight="false" outlineLevel="0" collapsed="false">
      <c r="A23" s="7" t="s">
        <v>12</v>
      </c>
      <c r="B23" s="8" t="s">
        <v>13</v>
      </c>
      <c r="C23" s="9" t="s">
        <v>14</v>
      </c>
      <c r="D23" s="18" t="n">
        <f aca="false">D8/D$4</f>
        <v>0.973594955</v>
      </c>
      <c r="E23" s="18" t="n">
        <f aca="false">E8/E$4</f>
        <v>0.969278648648649</v>
      </c>
      <c r="F23" s="18" t="n">
        <f aca="false">F8/F$4</f>
        <v>0.500161333333333</v>
      </c>
      <c r="G23" s="18" t="n">
        <f aca="false">G8/G$4</f>
        <v>0.444599846153846</v>
      </c>
      <c r="H23" s="18" t="n">
        <f aca="false">H8/H$4</f>
        <v>0.819719484210526</v>
      </c>
    </row>
    <row r="24" customFormat="false" ht="15" hidden="false" customHeight="false" outlineLevel="0" collapsed="false">
      <c r="A24" s="11" t="s">
        <v>15</v>
      </c>
      <c r="B24" s="12" t="s">
        <v>16</v>
      </c>
      <c r="C24" s="13" t="s">
        <v>17</v>
      </c>
      <c r="D24" s="19" t="n">
        <f aca="false">D9/D$4</f>
        <v>0.024</v>
      </c>
      <c r="E24" s="19" t="n">
        <f aca="false">E9/E$4</f>
        <v>0.0271891891891892</v>
      </c>
      <c r="F24" s="19" t="n">
        <f aca="false">F9/F$4</f>
        <v>0.373333333333333</v>
      </c>
      <c r="G24" s="19" t="n">
        <f aca="false">G9/G$4</f>
        <v>0.404230769230769</v>
      </c>
      <c r="H24" s="19" t="n">
        <f aca="false">H9/H$4</f>
        <v>0.148157894736842</v>
      </c>
    </row>
    <row r="25" customFormat="false" ht="15" hidden="false" customHeight="false" outlineLevel="0" collapsed="false">
      <c r="A25" s="11" t="s">
        <v>18</v>
      </c>
      <c r="B25" s="12" t="s">
        <v>19</v>
      </c>
      <c r="C25" s="13" t="s">
        <v>20</v>
      </c>
      <c r="D25" s="19" t="n">
        <f aca="false">D10/D$4</f>
        <v>0.00153</v>
      </c>
      <c r="E25" s="19" t="n">
        <f aca="false">E10/E$4</f>
        <v>0.00215135135135135</v>
      </c>
      <c r="F25" s="19" t="n">
        <f aca="false">F10/F$4</f>
        <v>0.0564444444444444</v>
      </c>
      <c r="G25" s="19" t="n">
        <f aca="false">G10/G$4</f>
        <v>0.0642307692307692</v>
      </c>
      <c r="H25" s="19" t="n">
        <f aca="false">H10/H$4</f>
        <v>0.0171052631578947</v>
      </c>
    </row>
    <row r="26" customFormat="false" ht="15" hidden="false" customHeight="false" outlineLevel="0" collapsed="false">
      <c r="A26" s="11" t="s">
        <v>21</v>
      </c>
      <c r="B26" s="12" t="s">
        <v>22</v>
      </c>
      <c r="C26" s="13" t="s">
        <v>23</v>
      </c>
      <c r="D26" s="19" t="n">
        <f aca="false">D11/D$4</f>
        <v>0.000581</v>
      </c>
      <c r="E26" s="19" t="n">
        <f aca="false">E11/E$4</f>
        <v>0.000989189189189189</v>
      </c>
      <c r="F26" s="19" t="n">
        <f aca="false">F11/F$4</f>
        <v>0.0475555555555556</v>
      </c>
      <c r="G26" s="19" t="n">
        <f aca="false">G11/G$4</f>
        <v>0.0614230769230769</v>
      </c>
      <c r="H26" s="19" t="n">
        <f aca="false">H11/H$4</f>
        <v>0.0102631578947368</v>
      </c>
    </row>
    <row r="27" customFormat="false" ht="15" hidden="false" customHeight="false" outlineLevel="0" collapsed="false">
      <c r="A27" s="11" t="s">
        <v>24</v>
      </c>
      <c r="B27" s="12" t="s">
        <v>25</v>
      </c>
      <c r="C27" s="13" t="s">
        <v>26</v>
      </c>
      <c r="D27" s="19" t="n">
        <f aca="false">D12/D$4</f>
        <v>0.000165</v>
      </c>
      <c r="E27" s="19" t="n">
        <f aca="false">E12/E$4</f>
        <v>0.000240540540540541</v>
      </c>
      <c r="F27" s="19" t="n">
        <f aca="false">F12/F$4</f>
        <v>0.0129777777777778</v>
      </c>
      <c r="G27" s="19" t="n">
        <f aca="false">G12/G$4</f>
        <v>0.0154230769230769</v>
      </c>
      <c r="H27" s="19" t="n">
        <f aca="false">H12/H$4</f>
        <v>0.00276315789473684</v>
      </c>
    </row>
    <row r="28" customFormat="false" ht="15" hidden="false" customHeight="false" outlineLevel="0" collapsed="false">
      <c r="A28" s="11" t="s">
        <v>27</v>
      </c>
      <c r="B28" s="12" t="s">
        <v>28</v>
      </c>
      <c r="C28" s="13" t="s">
        <v>29</v>
      </c>
      <c r="D28" s="19" t="n">
        <f aca="false">D13/D$4</f>
        <v>7.25E-005</v>
      </c>
      <c r="E28" s="19" t="n">
        <f aca="false">E13/E$4</f>
        <v>9.2972972972973E-005</v>
      </c>
      <c r="F28" s="19" t="n">
        <f aca="false">F13/F$4</f>
        <v>0.00548888888888889</v>
      </c>
      <c r="G28" s="19" t="n">
        <f aca="false">G13/G$4</f>
        <v>0.00611538461538462</v>
      </c>
      <c r="H28" s="19" t="n">
        <f aca="false">H13/H$4</f>
        <v>0.00121578947368421</v>
      </c>
    </row>
    <row r="29" customFormat="false" ht="15" hidden="false" customHeight="false" outlineLevel="0" collapsed="false">
      <c r="A29" s="11" t="s">
        <v>30</v>
      </c>
      <c r="B29" s="12" t="s">
        <v>31</v>
      </c>
      <c r="C29" s="13" t="s">
        <v>32</v>
      </c>
      <c r="D29" s="19" t="n">
        <f aca="false">D14/D$4</f>
        <v>4.84E-005</v>
      </c>
      <c r="E29" s="19" t="n">
        <f aca="false">E14/E$4</f>
        <v>5.12432432432432E-005</v>
      </c>
      <c r="F29" s="19" t="n">
        <f aca="false">F14/F$4</f>
        <v>0.00353333333333333</v>
      </c>
      <c r="G29" s="19" t="n">
        <f aca="false">G14/G$4</f>
        <v>0.00355</v>
      </c>
      <c r="H29" s="19" t="n">
        <f aca="false">H14/H$4</f>
        <v>0.000694736842105263</v>
      </c>
    </row>
    <row r="30" customFormat="false" ht="15" hidden="false" customHeight="false" outlineLevel="0" collapsed="false">
      <c r="A30" s="11" t="s">
        <v>33</v>
      </c>
      <c r="B30" s="12" t="s">
        <v>34</v>
      </c>
      <c r="C30" s="13" t="s">
        <v>35</v>
      </c>
      <c r="D30" s="19" t="n">
        <f aca="false">D15/D$4</f>
        <v>4.68E-006</v>
      </c>
      <c r="E30" s="19" t="n">
        <f aca="false">E15/E$4</f>
        <v>3.93513513513514E-006</v>
      </c>
      <c r="F30" s="19" t="n">
        <f aca="false">F15/F$4</f>
        <v>0.000315555555555556</v>
      </c>
      <c r="G30" s="19" t="n">
        <f aca="false">G15/G$4</f>
        <v>0.000274615384615385</v>
      </c>
      <c r="H30" s="19" t="n">
        <f aca="false">H15/H$4</f>
        <v>5.42105263157895E-005</v>
      </c>
    </row>
    <row r="31" customFormat="false" ht="15" hidden="false" customHeight="false" outlineLevel="0" collapsed="false">
      <c r="A31" s="11" t="s">
        <v>36</v>
      </c>
      <c r="B31" s="12" t="s">
        <v>37</v>
      </c>
      <c r="C31" s="13" t="s">
        <v>38</v>
      </c>
      <c r="D31" s="19" t="n">
        <f aca="false">D16/D$4</f>
        <v>2.99E-006</v>
      </c>
      <c r="E31" s="19" t="n">
        <f aca="false">E16/E$4</f>
        <v>2.52972972972973E-006</v>
      </c>
      <c r="F31" s="19" t="n">
        <f aca="false">F16/F$4</f>
        <v>0.000170222222222222</v>
      </c>
      <c r="G31" s="19" t="n">
        <f aca="false">G16/G$4</f>
        <v>0.000141923076923077</v>
      </c>
      <c r="H31" s="19" t="n">
        <f aca="false">H16/H$4</f>
        <v>2.40263157894737E-005</v>
      </c>
    </row>
    <row r="32" customFormat="false" ht="15" hidden="false" customHeight="false" outlineLevel="0" collapsed="false">
      <c r="A32" s="11" t="s">
        <v>39</v>
      </c>
      <c r="B32" s="12" t="s">
        <v>40</v>
      </c>
      <c r="C32" s="13" t="s">
        <v>41</v>
      </c>
      <c r="D32" s="19" t="n">
        <f aca="false">D17/D$4</f>
        <v>2.7E-007</v>
      </c>
      <c r="E32" s="19" t="n">
        <f aca="false">E17/E$4</f>
        <v>2.21621621621622E-007</v>
      </c>
      <c r="F32" s="19" t="n">
        <f aca="false">F17/F$4</f>
        <v>1.17777777777778E-005</v>
      </c>
      <c r="G32" s="19" t="n">
        <f aca="false">G17/G$4</f>
        <v>7.07692307692308E-006</v>
      </c>
      <c r="H32" s="19" t="n">
        <f aca="false">H17/H$4</f>
        <v>1.48947368421053E-006</v>
      </c>
    </row>
    <row r="33" customFormat="false" ht="15" hidden="false" customHeight="false" outlineLevel="0" collapsed="false">
      <c r="A33" s="7" t="s">
        <v>42</v>
      </c>
      <c r="B33" s="8" t="s">
        <v>43</v>
      </c>
      <c r="C33" s="9" t="s">
        <v>44</v>
      </c>
      <c r="D33" s="18" t="n">
        <f aca="false">D18/D$4</f>
        <v>2.05E-007</v>
      </c>
      <c r="E33" s="18" t="n">
        <f aca="false">E18/E$4</f>
        <v>1.78378378378378E-007</v>
      </c>
      <c r="F33" s="18" t="n">
        <f aca="false">F18/F$4</f>
        <v>7.77777777777778E-006</v>
      </c>
      <c r="G33" s="18" t="n">
        <f aca="false">G18/G$4</f>
        <v>3.46153846153846E-006</v>
      </c>
      <c r="H33" s="18" t="n">
        <f aca="false">H18/H$4</f>
        <v>7.89473684210526E-007</v>
      </c>
    </row>
    <row r="34" customFormat="false" ht="15" hidden="false" customHeight="true" outlineLevel="0" collapsed="false">
      <c r="A34" s="20" t="s">
        <v>46</v>
      </c>
      <c r="B34" s="20"/>
      <c r="C34" s="20"/>
      <c r="D34" s="21" t="n">
        <f aca="false">SUM(D23:D33)</f>
        <v>1</v>
      </c>
      <c r="E34" s="21" t="n">
        <f aca="false">SUM(E23:E33)</f>
        <v>1</v>
      </c>
      <c r="F34" s="21" t="n">
        <f aca="false">SUM(F23:F33)</f>
        <v>1</v>
      </c>
      <c r="G34" s="21" t="n">
        <f aca="false">SUM(G23:G33)</f>
        <v>1</v>
      </c>
      <c r="H34" s="21" t="n">
        <f aca="false">SUM(H23:H33)</f>
        <v>1</v>
      </c>
    </row>
    <row r="36" customFormat="false" ht="27.75" hidden="false" customHeight="true" outlineLevel="0" collapsed="false">
      <c r="A36" s="2" t="s">
        <v>47</v>
      </c>
      <c r="B36" s="2"/>
      <c r="C36" s="2"/>
      <c r="D36" s="2"/>
      <c r="E36" s="2"/>
      <c r="F36" s="2"/>
      <c r="G36" s="2"/>
      <c r="H36" s="2"/>
    </row>
  </sheetData>
  <mergeCells count="8">
    <mergeCell ref="A1:H1"/>
    <mergeCell ref="A2:H2"/>
    <mergeCell ref="A4:C4"/>
    <mergeCell ref="A6:H6"/>
    <mergeCell ref="A19:C19"/>
    <mergeCell ref="A21:H21"/>
    <mergeCell ref="A34:C3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15" hidden="false" customHeight="true" outlineLevel="0" collapsed="false">
      <c r="B1" s="22" t="s">
        <v>48</v>
      </c>
    </row>
    <row r="2" customFormat="false" ht="15" hidden="false" customHeight="false" outlineLevel="0" collapsed="false">
      <c r="B2" s="23"/>
    </row>
    <row r="3" customFormat="false" ht="15" hidden="false" customHeight="true" outlineLevel="0" collapsed="false">
      <c r="B3" s="24" t="s">
        <v>49</v>
      </c>
    </row>
    <row r="4" customFormat="false" ht="15" hidden="false" customHeight="true" outlineLevel="0" collapsed="false">
      <c r="B4" s="25" t="s">
        <v>50</v>
      </c>
    </row>
    <row r="5" customFormat="false" ht="15" hidden="false" customHeight="true" outlineLevel="0" collapsed="false">
      <c r="B5" s="25" t="s">
        <v>51</v>
      </c>
    </row>
    <row r="6" customFormat="false" ht="15" hidden="false" customHeight="false" outlineLevel="0" collapsed="false">
      <c r="B6" s="23"/>
    </row>
    <row r="7" customFormat="false" ht="15" hidden="false" customHeight="true" outlineLevel="0" collapsed="false">
      <c r="B7" s="24" t="s">
        <v>52</v>
      </c>
    </row>
    <row r="8" customFormat="false" ht="15" hidden="false" customHeight="true" outlineLevel="0" collapsed="false">
      <c r="B8" s="25" t="s">
        <v>53</v>
      </c>
    </row>
    <row r="9" customFormat="false" ht="15" hidden="false" customHeight="true" outlineLevel="0" collapsed="false">
      <c r="B9" s="25" t="s">
        <v>54</v>
      </c>
    </row>
    <row r="10" customFormat="false" ht="15" hidden="false" customHeight="true" outlineLevel="0" collapsed="false">
      <c r="B10" s="25" t="s">
        <v>55</v>
      </c>
    </row>
    <row r="11" customFormat="false" ht="15" hidden="false" customHeight="true" outlineLevel="0" collapsed="false">
      <c r="B11" s="25" t="s">
        <v>56</v>
      </c>
    </row>
    <row r="12" customFormat="false" ht="15" hidden="false" customHeight="true" outlineLevel="0" collapsed="false">
      <c r="B12" s="25" t="s">
        <v>57</v>
      </c>
    </row>
    <row r="13" customFormat="false" ht="15" hidden="false" customHeight="true" outlineLevel="0" collapsed="false">
      <c r="B13" s="25" t="s">
        <v>58</v>
      </c>
    </row>
    <row r="14" customFormat="false" ht="15" hidden="false" customHeight="false" outlineLevel="0" collapsed="false">
      <c r="B14" s="23"/>
    </row>
    <row r="15" customFormat="false" ht="15" hidden="false" customHeight="true" outlineLevel="0" collapsed="false">
      <c r="B15" s="24" t="s">
        <v>59</v>
      </c>
    </row>
    <row r="16" customFormat="false" ht="15" hidden="false" customHeight="true" outlineLevel="0" collapsed="false">
      <c r="B16" s="25" t="s">
        <v>60</v>
      </c>
    </row>
    <row r="17" customFormat="false" ht="15" hidden="false" customHeight="true" outlineLevel="0" collapsed="false">
      <c r="B17" s="25" t="s">
        <v>61</v>
      </c>
    </row>
    <row r="18" customFormat="false" ht="15" hidden="false" customHeight="true" outlineLevel="0" collapsed="false">
      <c r="B18" s="25" t="s">
        <v>62</v>
      </c>
    </row>
    <row r="19" customFormat="false" ht="15" hidden="false" customHeight="true" outlineLevel="0" collapsed="false">
      <c r="B19" s="25" t="s">
        <v>63</v>
      </c>
    </row>
    <row r="20" customFormat="false" ht="15" hidden="false" customHeight="false" outlineLevel="0" collapsed="false">
      <c r="B20" s="23"/>
    </row>
    <row r="21" customFormat="false" ht="15" hidden="false" customHeight="true" outlineLevel="0" collapsed="false">
      <c r="B21" s="26" t="s">
        <v>64</v>
      </c>
    </row>
    <row r="22" customFormat="false" ht="15" hidden="false" customHeight="true" outlineLevel="0" collapsed="false">
      <c r="B22" s="25" t="s">
        <v>65</v>
      </c>
    </row>
    <row r="23" customFormat="false" ht="15" hidden="false" customHeight="true" outlineLevel="0" collapsed="false">
      <c r="B23" s="25" t="s">
        <v>66</v>
      </c>
    </row>
    <row r="24" customFormat="false" ht="15" hidden="false" customHeight="true" outlineLevel="0" collapsed="false">
      <c r="B24" s="25" t="s">
        <v>67</v>
      </c>
    </row>
    <row r="25" customFormat="false" ht="15" hidden="false" customHeight="true" outlineLevel="0" collapsed="false">
      <c r="B25" s="25" t="s">
        <v>68</v>
      </c>
    </row>
    <row r="26" customFormat="false" ht="15" hidden="false" customHeight="true" outlineLevel="0" collapsed="false">
      <c r="B26" s="25" t="s">
        <v>69</v>
      </c>
    </row>
    <row r="27" customFormat="false" ht="15" hidden="false" customHeight="true" outlineLevel="0" collapsed="false">
      <c r="B27" s="25" t="s">
        <v>70</v>
      </c>
    </row>
    <row r="28" customFormat="false" ht="15" hidden="false" customHeight="false" outlineLevel="0" collapsed="false">
      <c r="B28" s="23"/>
    </row>
    <row r="29" customFormat="false" ht="15" hidden="false" customHeight="true" outlineLevel="0" collapsed="false">
      <c r="B29" s="24" t="s">
        <v>71</v>
      </c>
    </row>
    <row r="30" customFormat="false" ht="15" hidden="false" customHeight="true" outlineLevel="0" collapsed="false">
      <c r="B30" s="25" t="s">
        <v>72</v>
      </c>
    </row>
    <row r="31" customFormat="false" ht="15" hidden="false" customHeight="false" outlineLevel="0" collapsed="false">
      <c r="B3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2026-07-25T02:38:57Z</dcterms:created>
  <dc:creator>openpyxl</dc:creator>
  <dc:description/>
  <dc:language>en-US</dc:language>
  <cp:lastModifiedBy/>
  <dcterms:modified xsi:type="dcterms:W3CDTF">2026-07-25T02:38:57Z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